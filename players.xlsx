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Bhf3UUS+rkcvUdEWPyBYxowlW0q1dM9rjP2D4BAXjN0="/>
    </ext>
  </extLst>
</workbook>
</file>

<file path=xl/sharedStrings.xml><?xml version="1.0" encoding="utf-8"?>
<sst xmlns="http://schemas.openxmlformats.org/spreadsheetml/2006/main" count="55" uniqueCount="54">
  <si>
    <t>player</t>
  </si>
  <si>
    <t>player_id</t>
  </si>
  <si>
    <t>name</t>
  </si>
  <si>
    <t>surname</t>
  </si>
  <si>
    <t>name_complete</t>
  </si>
  <si>
    <t>dorsal</t>
  </si>
  <si>
    <t>born</t>
  </si>
  <si>
    <t>edad</t>
  </si>
  <si>
    <t>position</t>
  </si>
  <si>
    <t>Renzo</t>
  </si>
  <si>
    <t>Camacho</t>
  </si>
  <si>
    <t>Mauricio</t>
  </si>
  <si>
    <t>Abril</t>
  </si>
  <si>
    <t>Gabriel</t>
  </si>
  <si>
    <t>Herrera</t>
  </si>
  <si>
    <t>Sergio</t>
  </si>
  <si>
    <t>Huayhua</t>
  </si>
  <si>
    <t>José</t>
  </si>
  <si>
    <t>Lozada</t>
  </si>
  <si>
    <t>Aldair</t>
  </si>
  <si>
    <t>Saico</t>
  </si>
  <si>
    <t>Estefano</t>
  </si>
  <si>
    <t>Coronado</t>
  </si>
  <si>
    <t>Mateo</t>
  </si>
  <si>
    <t>Contreras</t>
  </si>
  <si>
    <t>Kevin</t>
  </si>
  <si>
    <t>Robles</t>
  </si>
  <si>
    <t>Leonel</t>
  </si>
  <si>
    <t>Alvarez</t>
  </si>
  <si>
    <t>Ney</t>
  </si>
  <si>
    <t>Tapia</t>
  </si>
  <si>
    <t>Juan Pablo</t>
  </si>
  <si>
    <t>Liendo</t>
  </si>
  <si>
    <t>Bruno</t>
  </si>
  <si>
    <t>Velazques</t>
  </si>
  <si>
    <t>Daiki</t>
  </si>
  <si>
    <t>Hualla</t>
  </si>
  <si>
    <t>Magnin</t>
  </si>
  <si>
    <t>Ranilla</t>
  </si>
  <si>
    <t>Renzo camacho 12</t>
  </si>
  <si>
    <t>Mauricio abril 6</t>
  </si>
  <si>
    <t>Gabriel Herrera 4</t>
  </si>
  <si>
    <t>Sergio Huayhua 16</t>
  </si>
  <si>
    <t>José Lozada 30</t>
  </si>
  <si>
    <t>Aldair Saico 17</t>
  </si>
  <si>
    <t>Estefano coronado 99</t>
  </si>
  <si>
    <t>Mateo Contreras 10</t>
  </si>
  <si>
    <t>Kevin Robles 19</t>
  </si>
  <si>
    <t>Leonel Alvarez 20</t>
  </si>
  <si>
    <t>Ney Tapia 27</t>
  </si>
  <si>
    <t>JuanPablo Liendo 92</t>
  </si>
  <si>
    <t>Bruno Velazques 8</t>
  </si>
  <si>
    <t>Daiki Hualla 11</t>
  </si>
  <si>
    <t>Magnin Ranilla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</si>
</sst>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3">
    <border/>
    <border>
      <left/>
      <right/>
      <top/>
      <bottom/>
    </border>
    <border>
      <top style="thin">
        <color theme="7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Border="1" applyFont="1" applyNumberFormat="1"/>
    <xf borderId="2" fillId="0" fontId="2" numFmtId="0" xfId="0" applyBorder="1" applyFont="1"/>
    <xf borderId="0" fillId="0" fontId="2" numFmtId="49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9.14"/>
    <col customWidth="1" min="3" max="3" width="10.86"/>
    <col customWidth="1" min="4" max="4" width="10.43"/>
    <col customWidth="1" min="5" max="5" width="15.43"/>
    <col customWidth="1" min="6" max="6" width="11.29"/>
    <col customWidth="1" min="7" max="7" width="15.14"/>
    <col customWidth="1" min="8" max="8" width="11.43"/>
    <col customWidth="1" min="9" max="9" width="23.57"/>
    <col customWidth="1" min="10" max="26" width="9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tr">
        <f t="shared" ref="A2:A16" si="1">CONCATENATE("(",F2,")",LEFT(C2,1),".",D2)</f>
        <v>(12)R.Camacho</v>
      </c>
      <c r="B2" s="4"/>
      <c r="C2" s="5" t="s">
        <v>9</v>
      </c>
      <c r="D2" s="5" t="s">
        <v>10</v>
      </c>
      <c r="E2" s="6" t="str">
        <f t="shared" ref="E2:E16" si="2">CONCATENATE(C2," ",D2)</f>
        <v>Renzo Camacho</v>
      </c>
      <c r="F2" s="7">
        <v>12.0</v>
      </c>
    </row>
    <row r="3">
      <c r="A3" s="3" t="str">
        <f t="shared" si="1"/>
        <v>(6)M.Abril</v>
      </c>
      <c r="B3" s="4"/>
      <c r="C3" s="5" t="s">
        <v>11</v>
      </c>
      <c r="D3" s="5" t="s">
        <v>12</v>
      </c>
      <c r="E3" s="6" t="str">
        <f t="shared" si="2"/>
        <v>Mauricio Abril</v>
      </c>
      <c r="F3" s="7">
        <v>6.0</v>
      </c>
    </row>
    <row r="4">
      <c r="A4" s="3" t="str">
        <f t="shared" si="1"/>
        <v>(4)G.Herrera</v>
      </c>
      <c r="B4" s="4"/>
      <c r="C4" s="8" t="s">
        <v>13</v>
      </c>
      <c r="D4" s="8" t="s">
        <v>14</v>
      </c>
      <c r="E4" s="6" t="str">
        <f t="shared" si="2"/>
        <v>Gabriel Herrera</v>
      </c>
      <c r="F4" s="7">
        <v>4.0</v>
      </c>
    </row>
    <row r="5">
      <c r="A5" s="3" t="str">
        <f t="shared" si="1"/>
        <v>(16)S.Huayhua</v>
      </c>
      <c r="B5" s="4"/>
      <c r="C5" s="8" t="s">
        <v>15</v>
      </c>
      <c r="D5" s="8" t="s">
        <v>16</v>
      </c>
      <c r="E5" s="6" t="str">
        <f t="shared" si="2"/>
        <v>Sergio Huayhua</v>
      </c>
      <c r="F5" s="7">
        <v>16.0</v>
      </c>
    </row>
    <row r="6">
      <c r="A6" s="3" t="str">
        <f t="shared" si="1"/>
        <v>(30)J.Lozada</v>
      </c>
      <c r="B6" s="4"/>
      <c r="C6" s="8" t="s">
        <v>17</v>
      </c>
      <c r="D6" s="8" t="s">
        <v>18</v>
      </c>
      <c r="E6" s="6" t="str">
        <f t="shared" si="2"/>
        <v>José Lozada</v>
      </c>
      <c r="F6" s="7">
        <v>30.0</v>
      </c>
    </row>
    <row r="7">
      <c r="A7" s="3" t="str">
        <f t="shared" si="1"/>
        <v>(17)A.Saico</v>
      </c>
      <c r="B7" s="4"/>
      <c r="C7" s="8" t="s">
        <v>19</v>
      </c>
      <c r="D7" s="8" t="s">
        <v>20</v>
      </c>
      <c r="E7" s="6" t="str">
        <f t="shared" si="2"/>
        <v>Aldair Saico</v>
      </c>
      <c r="F7" s="7">
        <v>17.0</v>
      </c>
    </row>
    <row r="8">
      <c r="A8" s="3" t="str">
        <f t="shared" si="1"/>
        <v>(99)E.Coronado</v>
      </c>
      <c r="B8" s="4"/>
      <c r="C8" s="8" t="s">
        <v>21</v>
      </c>
      <c r="D8" s="5" t="s">
        <v>22</v>
      </c>
      <c r="E8" s="6" t="str">
        <f t="shared" si="2"/>
        <v>Estefano Coronado</v>
      </c>
      <c r="F8" s="7">
        <v>99.0</v>
      </c>
    </row>
    <row r="9">
      <c r="A9" s="3" t="str">
        <f t="shared" si="1"/>
        <v>(10)M.Contreras</v>
      </c>
      <c r="B9" s="4"/>
      <c r="C9" s="8" t="s">
        <v>23</v>
      </c>
      <c r="D9" s="8" t="s">
        <v>24</v>
      </c>
      <c r="E9" s="6" t="str">
        <f t="shared" si="2"/>
        <v>Mateo Contreras</v>
      </c>
      <c r="F9" s="7">
        <v>10.0</v>
      </c>
    </row>
    <row r="10">
      <c r="A10" s="3" t="str">
        <f t="shared" si="1"/>
        <v>(19)K.Robles</v>
      </c>
      <c r="B10" s="4"/>
      <c r="C10" s="8" t="s">
        <v>25</v>
      </c>
      <c r="D10" s="8" t="s">
        <v>26</v>
      </c>
      <c r="E10" s="6" t="str">
        <f t="shared" si="2"/>
        <v>Kevin Robles</v>
      </c>
      <c r="F10" s="7">
        <v>19.0</v>
      </c>
    </row>
    <row r="11">
      <c r="A11" s="3" t="str">
        <f t="shared" si="1"/>
        <v>(20)L.Alvarez</v>
      </c>
      <c r="B11" s="4"/>
      <c r="C11" s="8" t="s">
        <v>27</v>
      </c>
      <c r="D11" s="8" t="s">
        <v>28</v>
      </c>
      <c r="E11" s="6" t="str">
        <f t="shared" si="2"/>
        <v>Leonel Alvarez</v>
      </c>
      <c r="F11" s="7">
        <v>20.0</v>
      </c>
    </row>
    <row r="12">
      <c r="A12" s="3" t="str">
        <f t="shared" si="1"/>
        <v>(27)N.Tapia</v>
      </c>
      <c r="B12" s="4"/>
      <c r="C12" s="8" t="s">
        <v>29</v>
      </c>
      <c r="D12" s="8" t="s">
        <v>30</v>
      </c>
      <c r="E12" s="6" t="str">
        <f t="shared" si="2"/>
        <v>Ney Tapia</v>
      </c>
      <c r="F12" s="7">
        <v>27.0</v>
      </c>
    </row>
    <row r="13">
      <c r="A13" s="3" t="str">
        <f t="shared" si="1"/>
        <v>(92)J.Liendo</v>
      </c>
      <c r="B13" s="4"/>
      <c r="C13" s="5" t="s">
        <v>31</v>
      </c>
      <c r="D13" s="8" t="s">
        <v>32</v>
      </c>
      <c r="E13" s="6" t="str">
        <f t="shared" si="2"/>
        <v>Juan Pablo Liendo</v>
      </c>
      <c r="F13" s="7">
        <v>92.0</v>
      </c>
    </row>
    <row r="14">
      <c r="A14" s="3" t="str">
        <f t="shared" si="1"/>
        <v>(8)B.Velazques</v>
      </c>
      <c r="B14" s="4"/>
      <c r="C14" s="8" t="s">
        <v>33</v>
      </c>
      <c r="D14" s="8" t="s">
        <v>34</v>
      </c>
      <c r="E14" s="6" t="str">
        <f t="shared" si="2"/>
        <v>Bruno Velazques</v>
      </c>
      <c r="F14" s="7">
        <v>8.0</v>
      </c>
    </row>
    <row r="15">
      <c r="A15" s="3" t="str">
        <f t="shared" si="1"/>
        <v>(11)D.Hualla</v>
      </c>
      <c r="B15" s="4"/>
      <c r="C15" s="8" t="s">
        <v>35</v>
      </c>
      <c r="D15" s="8" t="s">
        <v>36</v>
      </c>
      <c r="E15" s="6" t="str">
        <f t="shared" si="2"/>
        <v>Daiki Hualla</v>
      </c>
      <c r="F15" s="7">
        <v>11.0</v>
      </c>
    </row>
    <row r="16">
      <c r="A16" s="3" t="str">
        <f t="shared" si="1"/>
        <v>(3)M.Ranilla</v>
      </c>
      <c r="B16" s="4"/>
      <c r="C16" s="8" t="s">
        <v>37</v>
      </c>
      <c r="D16" s="8" t="s">
        <v>38</v>
      </c>
      <c r="E16" s="6" t="str">
        <f t="shared" si="2"/>
        <v>Magnin Ranilla</v>
      </c>
      <c r="F16" s="7">
        <v>3.0</v>
      </c>
    </row>
    <row r="17">
      <c r="A17" s="3"/>
      <c r="B17" s="4"/>
      <c r="C17" s="6"/>
      <c r="D17" s="6"/>
      <c r="E17" s="6"/>
      <c r="F17" s="6"/>
    </row>
    <row r="18">
      <c r="A18" s="3"/>
      <c r="B18" s="4"/>
      <c r="C18" s="6"/>
      <c r="D18" s="6"/>
      <c r="E18" s="6"/>
      <c r="F18" s="6"/>
    </row>
    <row r="19">
      <c r="A19" s="3"/>
      <c r="B19" s="4"/>
      <c r="C19" s="6"/>
      <c r="D19" s="6"/>
      <c r="E19" s="6"/>
      <c r="F19" s="6"/>
    </row>
    <row r="20" ht="15.75" customHeight="1">
      <c r="A20" s="3"/>
      <c r="B20" s="4"/>
      <c r="C20" s="6"/>
      <c r="D20" s="6"/>
      <c r="E20" s="6"/>
      <c r="F20" s="6"/>
    </row>
    <row r="21" ht="15.75" customHeight="1">
      <c r="A21" s="3"/>
      <c r="B21" s="4"/>
      <c r="C21" s="6"/>
      <c r="D21" s="6"/>
      <c r="E21" s="6"/>
      <c r="F21" s="6"/>
    </row>
    <row r="22" ht="15.75" customHeight="1">
      <c r="A22" s="3"/>
      <c r="B22" s="4"/>
      <c r="C22" s="6"/>
      <c r="D22" s="6"/>
      <c r="E22" s="6"/>
      <c r="F22" s="6"/>
    </row>
    <row r="23" ht="15.75" customHeight="1">
      <c r="A23" s="3"/>
      <c r="B23" s="4"/>
      <c r="C23" s="6"/>
      <c r="D23" s="6"/>
      <c r="E23" s="6"/>
      <c r="F23" s="6"/>
    </row>
    <row r="24" ht="15.75" customHeight="1">
      <c r="A24" s="3"/>
      <c r="B24" s="4"/>
      <c r="C24" s="6"/>
      <c r="D24" s="6"/>
      <c r="E24" s="6"/>
      <c r="F24" s="6"/>
    </row>
    <row r="25" ht="15.75" customHeight="1">
      <c r="A25" s="3"/>
      <c r="B25" s="4"/>
      <c r="C25" s="6"/>
      <c r="D25" s="6"/>
      <c r="E25" s="6"/>
      <c r="F25" s="6"/>
    </row>
    <row r="26" ht="15.75" customHeight="1">
      <c r="A26" s="3"/>
      <c r="B26" s="4"/>
      <c r="C26" s="6"/>
      <c r="D26" s="6"/>
      <c r="E26" s="6"/>
      <c r="F26" s="6"/>
    </row>
    <row r="27" ht="15.75" customHeight="1">
      <c r="A27" s="3"/>
      <c r="B27" s="4"/>
      <c r="C27" s="6"/>
      <c r="D27" s="6"/>
      <c r="E27" s="6"/>
      <c r="F27" s="6"/>
    </row>
    <row r="28" ht="15.75" customHeight="1">
      <c r="A28" s="3"/>
      <c r="B28" s="4"/>
      <c r="C28" s="6"/>
      <c r="D28" s="6"/>
      <c r="E28" s="6"/>
      <c r="F28" s="6"/>
    </row>
    <row r="29" ht="15.75" customHeight="1">
      <c r="A29" s="3"/>
      <c r="B29" s="4"/>
      <c r="C29" s="6"/>
      <c r="D29" s="6"/>
      <c r="E29" s="6"/>
      <c r="F29" s="6"/>
    </row>
    <row r="30" ht="15.75" customHeight="1">
      <c r="A30" s="3"/>
      <c r="B30" s="4"/>
      <c r="C30" s="6"/>
      <c r="D30" s="6"/>
      <c r="E30" s="6"/>
      <c r="F30" s="6"/>
    </row>
    <row r="31" ht="15.75" customHeight="1">
      <c r="A31" s="3"/>
      <c r="B31" s="4"/>
      <c r="C31" s="6"/>
      <c r="D31" s="6"/>
      <c r="E31" s="6"/>
      <c r="F31" s="6"/>
    </row>
    <row r="32" ht="15.75" customHeight="1">
      <c r="A32" s="3"/>
      <c r="B32" s="4"/>
      <c r="C32" s="6"/>
      <c r="D32" s="6"/>
      <c r="E32" s="6"/>
      <c r="F32" s="6"/>
    </row>
    <row r="33" ht="15.75" customHeight="1">
      <c r="A33" s="3"/>
      <c r="B33" s="4"/>
      <c r="C33" s="6"/>
      <c r="D33" s="6"/>
      <c r="E33" s="6"/>
      <c r="F33" s="6"/>
    </row>
    <row r="34" ht="15.75" customHeight="1">
      <c r="A34" s="3"/>
      <c r="B34" s="4"/>
      <c r="C34" s="6"/>
      <c r="D34" s="6"/>
      <c r="E34" s="6"/>
      <c r="F34" s="6"/>
    </row>
    <row r="35" ht="15.75" customHeight="1">
      <c r="A35" s="3"/>
      <c r="B35" s="4"/>
      <c r="C35" s="6"/>
      <c r="D35" s="6"/>
      <c r="E35" s="6"/>
      <c r="F35" s="6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</cols>
  <sheetData>
    <row r="2">
      <c r="A2" s="7" t="s">
        <v>39</v>
      </c>
      <c r="B2" s="7" t="str">
        <f t="shared" ref="B2:B12" si="1">LEFT(A2,FIND(" ",A2) - 1)</f>
        <v>Renzo</v>
      </c>
      <c r="C2" s="7" t="str">
        <f t="shared" ref="C2:C16" si="2">MID(A2,FIND(" ",A2) + 1,FIND(CHAR(160),SUBSTITUTE(A2," ",CHAR(160),2)) - 1 - (FIND(" ",A2)))</f>
        <v>camacho</v>
      </c>
      <c r="D2" s="7">
        <v>12.0</v>
      </c>
    </row>
    <row r="3">
      <c r="A3" s="7" t="s">
        <v>40</v>
      </c>
      <c r="B3" s="7" t="str">
        <f t="shared" si="1"/>
        <v>Mauricio</v>
      </c>
      <c r="C3" s="7" t="str">
        <f t="shared" si="2"/>
        <v>abril</v>
      </c>
      <c r="D3" s="7">
        <v>6.0</v>
      </c>
    </row>
    <row r="4">
      <c r="A4" s="7" t="s">
        <v>41</v>
      </c>
      <c r="B4" s="9" t="str">
        <f t="shared" si="1"/>
        <v>Gabriel</v>
      </c>
      <c r="C4" s="9" t="str">
        <f t="shared" si="2"/>
        <v>Herrera</v>
      </c>
      <c r="D4" s="7">
        <v>4.0</v>
      </c>
    </row>
    <row r="5">
      <c r="A5" s="7" t="s">
        <v>42</v>
      </c>
      <c r="B5" s="9" t="str">
        <f t="shared" si="1"/>
        <v>Sergio</v>
      </c>
      <c r="C5" s="9" t="str">
        <f t="shared" si="2"/>
        <v>Huayhua</v>
      </c>
      <c r="D5" s="7">
        <v>16.0</v>
      </c>
    </row>
    <row r="6">
      <c r="A6" s="7" t="s">
        <v>43</v>
      </c>
      <c r="B6" s="9" t="str">
        <f t="shared" si="1"/>
        <v>José</v>
      </c>
      <c r="C6" s="9" t="str">
        <f t="shared" si="2"/>
        <v>Lozada</v>
      </c>
      <c r="D6" s="7">
        <v>30.0</v>
      </c>
    </row>
    <row r="7">
      <c r="A7" s="7" t="s">
        <v>44</v>
      </c>
      <c r="B7" s="9" t="str">
        <f t="shared" si="1"/>
        <v>Aldair</v>
      </c>
      <c r="C7" s="9" t="str">
        <f t="shared" si="2"/>
        <v>Saico</v>
      </c>
      <c r="D7" s="7">
        <v>17.0</v>
      </c>
    </row>
    <row r="8">
      <c r="A8" s="7" t="s">
        <v>45</v>
      </c>
      <c r="B8" s="9" t="str">
        <f t="shared" si="1"/>
        <v>Estefano</v>
      </c>
      <c r="C8" s="9" t="str">
        <f t="shared" si="2"/>
        <v>coronado</v>
      </c>
      <c r="D8" s="7">
        <v>99.0</v>
      </c>
    </row>
    <row r="9">
      <c r="A9" s="7" t="s">
        <v>46</v>
      </c>
      <c r="B9" s="9" t="str">
        <f t="shared" si="1"/>
        <v>Mateo</v>
      </c>
      <c r="C9" s="9" t="str">
        <f t="shared" si="2"/>
        <v>Contreras</v>
      </c>
      <c r="D9" s="7">
        <v>10.0</v>
      </c>
    </row>
    <row r="10">
      <c r="A10" s="7" t="s">
        <v>47</v>
      </c>
      <c r="B10" s="9" t="str">
        <f t="shared" si="1"/>
        <v>Kevin</v>
      </c>
      <c r="C10" s="9" t="str">
        <f t="shared" si="2"/>
        <v>Robles</v>
      </c>
      <c r="D10" s="7">
        <v>19.0</v>
      </c>
    </row>
    <row r="11">
      <c r="A11" s="7" t="s">
        <v>48</v>
      </c>
      <c r="B11" s="9" t="str">
        <f t="shared" si="1"/>
        <v>Leonel</v>
      </c>
      <c r="C11" s="9" t="str">
        <f t="shared" si="2"/>
        <v>Alvarez</v>
      </c>
      <c r="D11" s="7">
        <v>20.0</v>
      </c>
    </row>
    <row r="12">
      <c r="A12" s="7" t="s">
        <v>49</v>
      </c>
      <c r="B12" s="9" t="str">
        <f t="shared" si="1"/>
        <v>Ney</v>
      </c>
      <c r="C12" s="9" t="str">
        <f t="shared" si="2"/>
        <v>Tapia</v>
      </c>
      <c r="D12" s="7">
        <v>27.0</v>
      </c>
    </row>
    <row r="13">
      <c r="A13" s="7" t="s">
        <v>50</v>
      </c>
      <c r="B13" s="7" t="s">
        <v>31</v>
      </c>
      <c r="C13" s="9" t="str">
        <f t="shared" si="2"/>
        <v>Liendo</v>
      </c>
      <c r="D13" s="7">
        <v>92.0</v>
      </c>
    </row>
    <row r="14">
      <c r="A14" s="7" t="s">
        <v>51</v>
      </c>
      <c r="B14" s="9" t="str">
        <f t="shared" ref="B14:B16" si="3">LEFT(A14,FIND(" ",A14) - 1)</f>
        <v>Bruno</v>
      </c>
      <c r="C14" s="9" t="str">
        <f t="shared" si="2"/>
        <v>Velazques</v>
      </c>
      <c r="D14" s="7">
        <v>8.0</v>
      </c>
    </row>
    <row r="15">
      <c r="A15" s="7" t="s">
        <v>52</v>
      </c>
      <c r="B15" s="9" t="str">
        <f t="shared" si="3"/>
        <v>Daiki</v>
      </c>
      <c r="C15" s="9" t="str">
        <f t="shared" si="2"/>
        <v>Hualla</v>
      </c>
      <c r="D15" s="7">
        <v>11.0</v>
      </c>
    </row>
    <row r="16">
      <c r="A16" s="7" t="s">
        <v>53</v>
      </c>
      <c r="B16" s="9" t="str">
        <f t="shared" si="3"/>
        <v>Magnin</v>
      </c>
      <c r="C16" s="9" t="str">
        <f t="shared" si="2"/>
        <v>Ranilla</v>
      </c>
      <c r="D16" s="7">
        <v>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