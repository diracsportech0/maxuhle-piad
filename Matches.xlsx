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fSSf3eX/0LJpb4lXO3mWilv2huS1nI0WF8HSSC52kI="/>
    </ext>
  </extLst>
</workbook>
</file>

<file path=xl/sharedStrings.xml><?xml version="1.0" encoding="utf-8"?>
<sst xmlns="http://schemas.openxmlformats.org/spreadsheetml/2006/main" count="20" uniqueCount="20">
  <si>
    <t>fecha</t>
  </si>
  <si>
    <t>jornada</t>
  </si>
  <si>
    <t>match_id</t>
  </si>
  <si>
    <t>video</t>
  </si>
  <si>
    <t>Etapa</t>
  </si>
  <si>
    <t>id_club1</t>
  </si>
  <si>
    <t>id_club2</t>
  </si>
  <si>
    <t>name_club1</t>
  </si>
  <si>
    <t>name_club2</t>
  </si>
  <si>
    <t>npartido</t>
  </si>
  <si>
    <t>match_filter</t>
  </si>
  <si>
    <t>match</t>
  </si>
  <si>
    <t>gol</t>
  </si>
  <si>
    <t>gol_against</t>
  </si>
  <si>
    <t>Propio</t>
  </si>
  <si>
    <t>fecha 3</t>
  </si>
  <si>
    <t>https://youtu.be/FEpRDRu9ihs</t>
  </si>
  <si>
    <t>Distrital</t>
  </si>
  <si>
    <t>SV Max Uhle</t>
  </si>
  <si>
    <t>AD Strangers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</si>
</sst>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FEpRDRu9ih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2.0"/>
    <col customWidth="1" min="4" max="4" width="29.71"/>
    <col customWidth="1" min="5" max="7" width="9.14"/>
    <col customWidth="1" min="8" max="8" width="17.57"/>
    <col customWidth="1" min="9" max="9" width="14.71"/>
    <col customWidth="1" min="10" max="10" width="9.14"/>
    <col customWidth="1" min="11" max="11" width="19.0"/>
    <col customWidth="1" min="12" max="12" width="17.14"/>
    <col customWidth="1" min="13" max="13" width="7.43"/>
    <col customWidth="1" min="14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46082.0</v>
      </c>
      <c r="B2" s="3" t="s">
        <v>15</v>
      </c>
      <c r="C2" s="4" t="str">
        <f>CONCATENATE(F2,A2)</f>
        <v>46082</v>
      </c>
      <c r="D2" s="5" t="s">
        <v>16</v>
      </c>
      <c r="E2" s="6" t="s">
        <v>17</v>
      </c>
      <c r="H2" s="7" t="s">
        <v>18</v>
      </c>
      <c r="I2" s="7" t="s">
        <v>19</v>
      </c>
      <c r="K2" s="6" t="str">
        <f>CONCATENATE(I2,"_",J2)</f>
        <v>AD Strangers_</v>
      </c>
      <c r="L2" s="6" t="str">
        <f>CONCATENATE( "vs ",I2)</f>
        <v>vs AD Strangers</v>
      </c>
      <c r="O2" s="7" t="b">
        <v>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:id="rId1" ref="D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